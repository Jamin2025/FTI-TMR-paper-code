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n/Documents/Bistu/"/>
    </mc:Choice>
  </mc:AlternateContent>
  <xr:revisionPtr revIDLastSave="0" documentId="13_ncr:1_{2824C8BF-451D-5642-83C1-9AD156269150}" xr6:coauthVersionLast="47" xr6:coauthVersionMax="47" xr10:uidLastSave="{00000000-0000-0000-0000-000000000000}"/>
  <bookViews>
    <workbookView xWindow="17380" yWindow="1820" windowWidth="28040" windowHeight="17440" xr2:uid="{D4BA1DE9-6DBA-234C-B4A5-C76A42794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C26" i="1"/>
  <c r="C25" i="1"/>
  <c r="J16" i="1"/>
  <c r="I16" i="1"/>
  <c r="H16" i="1"/>
  <c r="D29" i="1"/>
  <c r="J29" i="1"/>
  <c r="J28" i="1"/>
  <c r="J27" i="1"/>
  <c r="J26" i="1"/>
  <c r="I29" i="1"/>
  <c r="K28" i="1"/>
  <c r="K27" i="1"/>
  <c r="K26" i="1"/>
  <c r="K25" i="1"/>
  <c r="K29" i="1" s="1"/>
  <c r="I28" i="1"/>
  <c r="I27" i="1"/>
  <c r="I26" i="1"/>
  <c r="I25" i="1"/>
  <c r="E28" i="1"/>
  <c r="D28" i="1"/>
  <c r="C28" i="1"/>
  <c r="E27" i="1"/>
  <c r="D27" i="1"/>
  <c r="C27" i="1"/>
  <c r="E26" i="1"/>
  <c r="D26" i="1"/>
  <c r="C29" i="1"/>
  <c r="E25" i="1"/>
  <c r="E29" i="1" s="1"/>
  <c r="D25" i="1"/>
  <c r="K16" i="1"/>
</calcChain>
</file>

<file path=xl/sharedStrings.xml><?xml version="1.0" encoding="utf-8"?>
<sst xmlns="http://schemas.openxmlformats.org/spreadsheetml/2006/main" count="64" uniqueCount="15">
  <si>
    <t>TMR</t>
  </si>
  <si>
    <t>TP-TMR+</t>
  </si>
  <si>
    <t>R-TMR</t>
  </si>
  <si>
    <t>FTI-TMR</t>
  </si>
  <si>
    <t>fppp</t>
  </si>
  <si>
    <t>robot</t>
  </si>
  <si>
    <t>Applications</t>
  </si>
  <si>
    <t>Fault-free executed tasks</t>
  </si>
  <si>
    <t>sparse</t>
  </si>
  <si>
    <t>random</t>
  </si>
  <si>
    <t>GMean</t>
  </si>
  <si>
    <t>Fault executed tasks</t>
  </si>
  <si>
    <t>Fault-free Pof</t>
  </si>
  <si>
    <t>Fault Pof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</si>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</sst>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TMR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Sheet1!$A$25:$A$29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Sheet1!$B$25:$B$29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C-5D4F-97C0-4FB306BADEA5}"/>
            </c:ext>
          </c:extLst>
        </c:ser>
        <c:ser>
          <c:idx val="1"/>
          <c:order val="1"/>
          <c:tx>
            <c:strRef>
              <c:f>Sheet1!$C$24</c:f>
              <c:strCache>
                <c:ptCount val="1"/>
                <c:pt idx="0">
                  <c:v>TP-TMR+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Sheet1!$A$25:$A$29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Sheet1!$C$25:$C$29</c:f>
              <c:numCache>
                <c:formatCode>General</c:formatCode>
                <c:ptCount val="5"/>
                <c:pt idx="0">
                  <c:v>0.6667042564953013</c:v>
                </c:pt>
                <c:pt idx="1">
                  <c:v>0.66672839506172843</c:v>
                </c:pt>
                <c:pt idx="2">
                  <c:v>0.66670068027210883</c:v>
                </c:pt>
                <c:pt idx="3">
                  <c:v>0.66667777777777781</c:v>
                </c:pt>
                <c:pt idx="4">
                  <c:v>0.66670277716027404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C-5D4F-97C0-4FB306BADEA5}"/>
            </c:ext>
          </c:extLst>
        </c:ser>
        <c:ser>
          <c:idx val="2"/>
          <c:order val="2"/>
          <c:tx>
            <c:strRef>
              <c:f>Sheet1!$D$24</c:f>
              <c:strCache>
                <c:ptCount val="1"/>
                <c:pt idx="0">
                  <c:v>R-TMR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Sheet1!$A$25:$A$29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Sheet1!$D$25:$D$29</c:f>
              <c:numCache>
                <c:formatCode>General</c:formatCode>
                <c:ptCount val="5"/>
                <c:pt idx="0">
                  <c:v>0.66670757324488672</c:v>
                </c:pt>
                <c:pt idx="1">
                  <c:v>0.666716049382716</c:v>
                </c:pt>
                <c:pt idx="2">
                  <c:v>0.66670823885109598</c:v>
                </c:pt>
                <c:pt idx="3">
                  <c:v>0.66667222222222222</c:v>
                </c:pt>
                <c:pt idx="4">
                  <c:v>0.6667010207095655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C-5D4F-97C0-4FB306BADEA5}"/>
            </c:ext>
          </c:extLst>
        </c:ser>
        <c:ser>
          <c:idx val="3"/>
          <c:order val="3"/>
          <c:tx>
            <c:strRef>
              <c:f>Sheet1!$E$24</c:f>
              <c:strCache>
                <c:ptCount val="1"/>
                <c:pt idx="0">
                  <c:v>FTI-TMR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Sheet1!$A$25:$A$29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Sheet1!$E$25:$E$29</c:f>
              <c:numCache>
                <c:formatCode>General</c:formatCode>
                <c:ptCount val="5"/>
                <c:pt idx="0">
                  <c:v>0.66884687672747378</c:v>
                </c:pt>
                <c:pt idx="1">
                  <c:v>0.67461728395061726</c:v>
                </c:pt>
                <c:pt idx="2">
                  <c:v>0.67393046107331822</c:v>
                </c:pt>
                <c:pt idx="3">
                  <c:v>0.67019444444444443</c:v>
                </c:pt>
                <c:pt idx="4">
                  <c:v>0.67189284963164897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6C-5D4F-97C0-4FB306BAD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566527"/>
        <c:axId val="900568239"/>
      </c:barChart>
      <c:catAx>
        <c:axId val="90056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0568239"/>
        <c:crosses val="autoZero"/>
        <c:auto val="1"/>
        <c:lblAlgn val="ctr"/>
        <c:lblOffset val="100"/>
        <c:noMultiLvlLbl val="0"/>
      </c:catAx>
      <c:valAx>
        <c:axId val="9005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056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Sheet1!$H$24</c:f>
              <c:strCache>
                <c:ptCount val="1"/>
                <c:pt idx="0">
                  <c:v>TMR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Sheet1!$G$25:$G$29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Sheet1!$H$25:$H$29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1-944F-8F69-B2F0066B512A}"/>
            </c:ext>
          </c:extLst>
        </c:ser>
        <c:ser>
          <c:idx val="1"/>
          <c:order val="1"/>
          <c:tx>
            <c:strRef>
              <c:f>Sheet1!$I$24</c:f>
              <c:strCache>
                <c:ptCount val="1"/>
                <c:pt idx="0">
                  <c:v>TP-TMR+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Sheet1!$G$25:$G$29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Sheet1!$I$25:$I$29</c:f>
              <c:numCache>
                <c:formatCode>General</c:formatCode>
                <c:ptCount val="5"/>
                <c:pt idx="0">
                  <c:v>0.79803537866224439</c:v>
                </c:pt>
                <c:pt idx="1">
                  <c:v>0.7893539094650206</c:v>
                </c:pt>
                <c:pt idx="2">
                  <c:v>0.79925547996976565</c:v>
                </c:pt>
                <c:pt idx="3">
                  <c:v>0.79541851851851852</c:v>
                </c:pt>
                <c:pt idx="4">
                  <c:v>0.79550663709861558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1-944F-8F69-B2F0066B512A}"/>
            </c:ext>
          </c:extLst>
        </c:ser>
        <c:ser>
          <c:idx val="2"/>
          <c:order val="2"/>
          <c:tx>
            <c:strRef>
              <c:f>Sheet1!$J$24</c:f>
              <c:strCache>
                <c:ptCount val="1"/>
                <c:pt idx="0">
                  <c:v>R-TMR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Sheet1!$G$25:$G$29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Sheet1!$J$25:$J$29</c:f>
              <c:numCache>
                <c:formatCode>General</c:formatCode>
                <c:ptCount val="5"/>
                <c:pt idx="0">
                  <c:v>0.7442034273079049</c:v>
                </c:pt>
                <c:pt idx="1">
                  <c:v>0.74351851851851847</c:v>
                </c:pt>
                <c:pt idx="2">
                  <c:v>0.74399470899470899</c:v>
                </c:pt>
                <c:pt idx="3">
                  <c:v>0.76884629629629631</c:v>
                </c:pt>
                <c:pt idx="4">
                  <c:v>0.75006380257783523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1-944F-8F69-B2F0066B512A}"/>
            </c:ext>
          </c:extLst>
        </c:ser>
        <c:ser>
          <c:idx val="3"/>
          <c:order val="3"/>
          <c:tx>
            <c:strRef>
              <c:f>Sheet1!$K$24</c:f>
              <c:strCache>
                <c:ptCount val="1"/>
                <c:pt idx="0">
                  <c:v>FTI-TMR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Sheet1!$G$25:$G$29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GMean</c:v>
                </c:pt>
              </c:strCache>
            </c:strRef>
          </c:cat>
          <c:val>
            <c:numRef>
              <c:f>Sheet1!$K$25:$K$29</c:f>
              <c:numCache>
                <c:formatCode>General</c:formatCode>
                <c:ptCount val="5"/>
                <c:pt idx="0">
                  <c:v>0.70951022664455499</c:v>
                </c:pt>
                <c:pt idx="1">
                  <c:v>0.71582304526748974</c:v>
                </c:pt>
                <c:pt idx="2">
                  <c:v>0.7157218442932729</c:v>
                </c:pt>
                <c:pt idx="3">
                  <c:v>0.71174074074074078</c:v>
                </c:pt>
                <c:pt idx="4">
                  <c:v>0.71319388115089311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1-944F-8F69-B2F0066B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125167"/>
        <c:axId val="265684383"/>
      </c:barChart>
      <c:catAx>
        <c:axId val="26612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65684383"/>
        <c:crosses val="autoZero"/>
        <c:auto val="1"/>
        <c:lblAlgn val="ctr"/>
        <c:lblOffset val="100"/>
        <c:noMultiLvlLbl val="0"/>
      </c:catAx>
      <c:valAx>
        <c:axId val="26568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6612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Sheet1!$H$11</c:f>
              <c:strCache>
                <c:ptCount val="1"/>
                <c:pt idx="0">
                  <c:v>TMR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Sheet1!$G$12:$G$16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Average</c:v>
                </c:pt>
              </c:strCache>
            </c:strRef>
          </c:cat>
          <c:val>
            <c:numRef>
              <c:f>Sheet1!$H$12:$H$16</c:f>
              <c:numCache>
                <c:formatCode>General</c:formatCode>
                <c:ptCount val="5"/>
                <c:pt idx="0">
                  <c:v>0.33779999999999999</c:v>
                </c:pt>
                <c:pt idx="1">
                  <c:v>0.33439999999999998</c:v>
                </c:pt>
                <c:pt idx="2">
                  <c:v>0.33439999999999998</c:v>
                </c:pt>
                <c:pt idx="3">
                  <c:v>0.33439999999999998</c:v>
                </c:pt>
                <c:pt idx="4">
                  <c:v>0.33524999999999999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6-6C44-85DD-ECBC43C355F6}"/>
            </c:ext>
          </c:extLst>
        </c:ser>
        <c:ser>
          <c:idx val="1"/>
          <c:order val="1"/>
          <c:tx>
            <c:strRef>
              <c:f>Sheet1!$I$11</c:f>
              <c:strCache>
                <c:ptCount val="1"/>
                <c:pt idx="0">
                  <c:v>TP-TMR+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Sheet1!$G$12:$G$16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Average</c:v>
                </c:pt>
              </c:strCache>
            </c:strRef>
          </c:cat>
          <c:val>
            <c:numRef>
              <c:f>Sheet1!$I$12:$I$16</c:f>
              <c:numCache>
                <c:formatCode>General</c:formatCode>
                <c:ptCount val="5"/>
                <c:pt idx="0">
                  <c:v>0.33329999999999999</c:v>
                </c:pt>
                <c:pt idx="1">
                  <c:v>0.33560000000000001</c:v>
                </c:pt>
                <c:pt idx="2">
                  <c:v>0.3367</c:v>
                </c:pt>
                <c:pt idx="3">
                  <c:v>0.33329999999999999</c:v>
                </c:pt>
                <c:pt idx="4">
                  <c:v>0.33472499999999999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6-6C44-85DD-ECBC43C355F6}"/>
            </c:ext>
          </c:extLst>
        </c:ser>
        <c:ser>
          <c:idx val="2"/>
          <c:order val="2"/>
          <c:tx>
            <c:strRef>
              <c:f>Sheet1!$J$11</c:f>
              <c:strCache>
                <c:ptCount val="1"/>
                <c:pt idx="0">
                  <c:v>R-TMR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Sheet1!$G$12:$G$16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Average</c:v>
                </c:pt>
              </c:strCache>
            </c:strRef>
          </c:cat>
          <c:val>
            <c:numRef>
              <c:f>Sheet1!$J$12:$J$16</c:f>
              <c:numCache>
                <c:formatCode>General</c:formatCode>
                <c:ptCount val="5"/>
                <c:pt idx="0">
                  <c:v>0.22444</c:v>
                </c:pt>
                <c:pt idx="1">
                  <c:v>0.22444</c:v>
                </c:pt>
                <c:pt idx="2">
                  <c:v>0.22444</c:v>
                </c:pt>
                <c:pt idx="3">
                  <c:v>0.29887999999999998</c:v>
                </c:pt>
                <c:pt idx="4">
                  <c:v>0.24304999999999999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6-6C44-85DD-ECBC43C355F6}"/>
            </c:ext>
          </c:extLst>
        </c:ser>
        <c:ser>
          <c:idx val="3"/>
          <c:order val="3"/>
          <c:tx>
            <c:strRef>
              <c:f>Sheet1!$K$11</c:f>
              <c:strCache>
                <c:ptCount val="1"/>
                <c:pt idx="0">
                  <c:v>FTI-TMR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Sheet1!$G$12:$G$16</c:f>
              <c:strCache>
                <c:ptCount val="5"/>
                <c:pt idx="0">
                  <c:v>fppp</c:v>
                </c:pt>
                <c:pt idx="1">
                  <c:v>robot</c:v>
                </c:pt>
                <c:pt idx="2">
                  <c:v>sparse</c:v>
                </c:pt>
                <c:pt idx="3">
                  <c:v>random</c:v>
                </c:pt>
                <c:pt idx="4">
                  <c:v>Average</c:v>
                </c:pt>
              </c:strCache>
            </c:strRef>
          </c:cat>
          <c:val>
            <c:numRef>
              <c:f>Sheet1!$K$12:$K$16</c:f>
              <c:numCache>
                <c:formatCode>General</c:formatCode>
                <c:ptCount val="5"/>
                <c:pt idx="0">
                  <c:v>0.1211</c:v>
                </c:pt>
                <c:pt idx="1">
                  <c:v>0.11559999999999999</c:v>
                </c:pt>
                <c:pt idx="2">
                  <c:v>0.1167</c:v>
                </c:pt>
                <c:pt idx="3">
                  <c:v>0.11559999999999999</c:v>
                </c:pt>
                <c:pt idx="4">
                  <c:v>0.11724999999999999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6-6C44-85DD-ECBC43C35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357967"/>
        <c:axId val="256350303"/>
      </c:barChart>
      <c:catAx>
        <c:axId val="25635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56350303"/>
        <c:crosses val="autoZero"/>
        <c:auto val="1"/>
        <c:lblAlgn val="ctr"/>
        <c:lblOffset val="100"/>
        <c:noMultiLvlLbl val="0"/>
      </c:catAx>
      <c:valAx>
        <c:axId val="2563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5635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819150</xdr:colOff>
      <xdr:row>9</xdr:row>
      <xdr:rowOff>76200</xdr:rowOff>
    </xdr:from>
    <xdr:to>
      <xdr:col>17</xdr:col>
      <xdr:colOff>438150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57275-9606-871A-4FFA-9F41F94CD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768350</xdr:colOff>
      <xdr:row>22</xdr:row>
      <xdr:rowOff>304800</xdr:rowOff>
    </xdr:from>
    <xdr:to>
      <xdr:col>17</xdr:col>
      <xdr:colOff>387350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D0B999-B14D-B7B0-48DC-09FEAFDBA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146050</xdr:colOff>
      <xdr:row>45</xdr:row>
      <xdr:rowOff>88900</xdr:rowOff>
    </xdr:from>
    <xdr:to>
      <xdr:col>7</xdr:col>
      <xdr:colOff>590550</xdr:colOff>
      <xdr:row>58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6759AF-846B-C9EF-DC89-FA63F04C2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C3F5-8D93-AE40-96DB-083B78CDE46F}">
  <dimension ref="A1:M34"/>
  <sheetViews>
    <sheetView tabSelected="1" topLeftCell="A11" workbookViewId="0">
      <selection activeCell="K34" sqref="K34"/>
    </sheetView>
  </sheetViews>
  <sheetFormatPr baseColWidth="10" defaultRowHeight="16" x14ac:dyDescent="0.2"/>
  <cols>
    <col min="1" max="1" width="15.6640625" customWidth="1"/>
  </cols>
  <sheetData>
    <row r="1" spans="1:13" ht="51" x14ac:dyDescent="0.2">
      <c r="A1" s="2" t="s">
        <v>7</v>
      </c>
      <c r="G1" s="2" t="s">
        <v>11</v>
      </c>
      <c r="M1" s="3"/>
    </row>
    <row r="2" spans="1:13" x14ac:dyDescent="0.2">
      <c r="A2" t="s">
        <v>6</v>
      </c>
      <c r="B2" t="s">
        <v>0</v>
      </c>
      <c r="C2" t="s">
        <v>1</v>
      </c>
      <c r="D2" t="s">
        <v>2</v>
      </c>
      <c r="E2" t="s">
        <v>3</v>
      </c>
      <c r="G2" t="s">
        <v>6</v>
      </c>
      <c r="H2" t="s">
        <v>0</v>
      </c>
      <c r="I2" t="s">
        <v>1</v>
      </c>
      <c r="J2" t="s">
        <v>2</v>
      </c>
      <c r="K2" t="s">
        <v>3</v>
      </c>
    </row>
    <row r="3" spans="1:13" x14ac:dyDescent="0.2">
      <c r="A3" t="s">
        <v>4</v>
      </c>
      <c r="B3">
        <v>904500</v>
      </c>
      <c r="C3">
        <v>603034</v>
      </c>
      <c r="D3">
        <v>603037</v>
      </c>
      <c r="E3">
        <v>604972</v>
      </c>
      <c r="G3" t="s">
        <v>4</v>
      </c>
      <c r="H3">
        <v>904500</v>
      </c>
      <c r="I3">
        <v>721823</v>
      </c>
      <c r="J3">
        <v>673132</v>
      </c>
      <c r="K3">
        <v>641752</v>
      </c>
    </row>
    <row r="4" spans="1:13" x14ac:dyDescent="0.2">
      <c r="A4" t="s">
        <v>5</v>
      </c>
      <c r="B4">
        <v>243000</v>
      </c>
      <c r="C4">
        <v>162015</v>
      </c>
      <c r="D4">
        <v>162012</v>
      </c>
      <c r="E4">
        <v>163932</v>
      </c>
      <c r="G4" t="s">
        <v>5</v>
      </c>
      <c r="H4">
        <v>243000</v>
      </c>
      <c r="I4">
        <v>191813</v>
      </c>
      <c r="J4">
        <v>180675</v>
      </c>
      <c r="K4">
        <v>173945</v>
      </c>
    </row>
    <row r="5" spans="1:13" x14ac:dyDescent="0.2">
      <c r="A5" t="s">
        <v>8</v>
      </c>
      <c r="B5">
        <v>264600</v>
      </c>
      <c r="C5">
        <v>176409</v>
      </c>
      <c r="D5">
        <v>176411</v>
      </c>
      <c r="E5">
        <v>178322</v>
      </c>
      <c r="G5" t="s">
        <v>8</v>
      </c>
      <c r="H5">
        <v>264600</v>
      </c>
      <c r="I5">
        <v>211483</v>
      </c>
      <c r="J5">
        <v>196861</v>
      </c>
      <c r="K5">
        <v>189380</v>
      </c>
    </row>
    <row r="6" spans="1:13" x14ac:dyDescent="0.2">
      <c r="A6" t="s">
        <v>9</v>
      </c>
      <c r="B6">
        <v>540000</v>
      </c>
      <c r="C6">
        <v>360006</v>
      </c>
      <c r="D6">
        <v>360003</v>
      </c>
      <c r="E6">
        <v>361905</v>
      </c>
      <c r="G6" t="s">
        <v>9</v>
      </c>
      <c r="H6">
        <v>540000</v>
      </c>
      <c r="I6">
        <v>429526</v>
      </c>
      <c r="J6">
        <v>415177</v>
      </c>
      <c r="K6">
        <v>384340</v>
      </c>
    </row>
    <row r="9" spans="1:13" x14ac:dyDescent="0.2">
      <c r="A9" s="1"/>
    </row>
    <row r="10" spans="1:13" ht="17" x14ac:dyDescent="0.2">
      <c r="A10" s="2" t="s">
        <v>12</v>
      </c>
      <c r="G10" s="2" t="s">
        <v>13</v>
      </c>
    </row>
    <row r="11" spans="1:13" x14ac:dyDescent="0.2">
      <c r="A11" t="s">
        <v>6</v>
      </c>
      <c r="B11" t="s">
        <v>0</v>
      </c>
      <c r="C11" t="s">
        <v>1</v>
      </c>
      <c r="D11" t="s">
        <v>2</v>
      </c>
      <c r="E11" t="s">
        <v>3</v>
      </c>
      <c r="G11" t="s">
        <v>6</v>
      </c>
      <c r="H11" t="s">
        <v>0</v>
      </c>
      <c r="I11" t="s">
        <v>1</v>
      </c>
      <c r="J11" t="s">
        <v>2</v>
      </c>
      <c r="K11" t="s">
        <v>3</v>
      </c>
    </row>
    <row r="12" spans="1:13" x14ac:dyDescent="0.2">
      <c r="A12" t="s">
        <v>4</v>
      </c>
      <c r="G12" t="s">
        <v>4</v>
      </c>
      <c r="H12">
        <v>0.33779999999999999</v>
      </c>
      <c r="I12">
        <v>0.33329999999999999</v>
      </c>
      <c r="J12">
        <v>0.22444</v>
      </c>
      <c r="K12">
        <v>0.1211</v>
      </c>
    </row>
    <row r="13" spans="1:13" x14ac:dyDescent="0.2">
      <c r="A13" t="s">
        <v>5</v>
      </c>
      <c r="G13" t="s">
        <v>5</v>
      </c>
      <c r="H13">
        <v>0.33439999999999998</v>
      </c>
      <c r="I13">
        <v>0.33560000000000001</v>
      </c>
      <c r="J13">
        <v>0.22444</v>
      </c>
      <c r="K13">
        <v>0.11559999999999999</v>
      </c>
    </row>
    <row r="14" spans="1:13" x14ac:dyDescent="0.2">
      <c r="A14" t="s">
        <v>8</v>
      </c>
      <c r="G14" t="s">
        <v>8</v>
      </c>
      <c r="H14">
        <v>0.33439999999999998</v>
      </c>
      <c r="I14">
        <v>0.3367</v>
      </c>
      <c r="J14">
        <v>0.22444</v>
      </c>
      <c r="K14">
        <v>0.1167</v>
      </c>
    </row>
    <row r="15" spans="1:13" x14ac:dyDescent="0.2">
      <c r="A15" t="s">
        <v>9</v>
      </c>
      <c r="G15" t="s">
        <v>9</v>
      </c>
      <c r="H15">
        <v>0.33439999999999998</v>
      </c>
      <c r="I15">
        <v>0.33329999999999999</v>
      </c>
      <c r="J15">
        <v>0.29887999999999998</v>
      </c>
      <c r="K15">
        <v>0.11559999999999999</v>
      </c>
    </row>
    <row r="16" spans="1:13" x14ac:dyDescent="0.2">
      <c r="A16" t="s">
        <v>14</v>
      </c>
      <c r="G16" t="s">
        <v>14</v>
      </c>
      <c r="H16">
        <f>AVERAGE(H12:H15)</f>
        <v>0.33524999999999999</v>
      </c>
      <c r="I16">
        <f>AVERAGE(I12:I15)</f>
        <v>0.33472499999999999</v>
      </c>
      <c r="J16">
        <f>AVERAGE(J12:J15)</f>
        <v>0.24304999999999999</v>
      </c>
      <c r="K16">
        <f>AVERAGE(K12:K15)</f>
        <v>0.11724999999999999</v>
      </c>
    </row>
    <row r="17" spans="1:11" x14ac:dyDescent="0.2">
      <c r="H17">
        <v>0.33527249999999997</v>
      </c>
      <c r="I17">
        <v>0.3347175</v>
      </c>
      <c r="J17">
        <v>0.24304999999999999</v>
      </c>
      <c r="K17">
        <v>0.1172175</v>
      </c>
    </row>
    <row r="23" spans="1:11" ht="51" x14ac:dyDescent="0.2">
      <c r="A23" s="2" t="s">
        <v>7</v>
      </c>
      <c r="G23" s="2" t="s">
        <v>11</v>
      </c>
    </row>
    <row r="24" spans="1:11" x14ac:dyDescent="0.2">
      <c r="A24" t="s">
        <v>6</v>
      </c>
      <c r="B24" t="s">
        <v>0</v>
      </c>
      <c r="C24" t="s">
        <v>1</v>
      </c>
      <c r="D24" t="s">
        <v>2</v>
      </c>
      <c r="E24" t="s">
        <v>3</v>
      </c>
      <c r="G24" t="s">
        <v>6</v>
      </c>
      <c r="H24" t="s">
        <v>0</v>
      </c>
      <c r="I24" t="s">
        <v>1</v>
      </c>
      <c r="J24" t="s">
        <v>2</v>
      </c>
      <c r="K24" t="s">
        <v>3</v>
      </c>
    </row>
    <row r="25" spans="1:11" x14ac:dyDescent="0.2">
      <c r="A25" t="s">
        <v>4</v>
      </c>
      <c r="B25">
        <v>1</v>
      </c>
      <c r="C25">
        <f>C3/B3</f>
        <v>0.6667042564953013</v>
      </c>
      <c r="D25">
        <f>D3/B3</f>
        <v>0.66670757324488672</v>
      </c>
      <c r="E25">
        <f>E3/B3</f>
        <v>0.66884687672747378</v>
      </c>
      <c r="G25" t="s">
        <v>4</v>
      </c>
      <c r="H25">
        <v>1</v>
      </c>
      <c r="I25">
        <f>I3/H3</f>
        <v>0.79803537866224439</v>
      </c>
      <c r="J25">
        <f>J3/H3</f>
        <v>0.7442034273079049</v>
      </c>
      <c r="K25">
        <f>K3/H3</f>
        <v>0.70951022664455499</v>
      </c>
    </row>
    <row r="26" spans="1:11" x14ac:dyDescent="0.2">
      <c r="A26" t="s">
        <v>5</v>
      </c>
      <c r="B26">
        <v>1</v>
      </c>
      <c r="C26">
        <f>C4/B4</f>
        <v>0.66672839506172843</v>
      </c>
      <c r="D26">
        <f>D4/B4</f>
        <v>0.666716049382716</v>
      </c>
      <c r="E26">
        <f>E4/B4</f>
        <v>0.67461728395061726</v>
      </c>
      <c r="G26" t="s">
        <v>5</v>
      </c>
      <c r="H26">
        <v>1</v>
      </c>
      <c r="I26">
        <f>I4/H4</f>
        <v>0.7893539094650206</v>
      </c>
      <c r="J26">
        <f>J4/H4</f>
        <v>0.74351851851851847</v>
      </c>
      <c r="K26">
        <f>K4/H4</f>
        <v>0.71582304526748974</v>
      </c>
    </row>
    <row r="27" spans="1:11" x14ac:dyDescent="0.2">
      <c r="A27" t="s">
        <v>8</v>
      </c>
      <c r="B27">
        <v>1</v>
      </c>
      <c r="C27">
        <f>C5/B5</f>
        <v>0.66670068027210883</v>
      </c>
      <c r="D27">
        <f>D5/B5</f>
        <v>0.66670823885109598</v>
      </c>
      <c r="E27">
        <f>E5/B5</f>
        <v>0.67393046107331822</v>
      </c>
      <c r="G27" t="s">
        <v>8</v>
      </c>
      <c r="H27">
        <v>1</v>
      </c>
      <c r="I27">
        <f>I5/H5</f>
        <v>0.79925547996976565</v>
      </c>
      <c r="J27">
        <f>J5/H5</f>
        <v>0.74399470899470899</v>
      </c>
      <c r="K27">
        <f>K5/H5</f>
        <v>0.7157218442932729</v>
      </c>
    </row>
    <row r="28" spans="1:11" x14ac:dyDescent="0.2">
      <c r="A28" t="s">
        <v>9</v>
      </c>
      <c r="B28">
        <v>1</v>
      </c>
      <c r="C28">
        <f>C6/B6</f>
        <v>0.66667777777777781</v>
      </c>
      <c r="D28">
        <f>D6/B6</f>
        <v>0.66667222222222222</v>
      </c>
      <c r="E28">
        <f>E6/B6</f>
        <v>0.67019444444444443</v>
      </c>
      <c r="G28" t="s">
        <v>9</v>
      </c>
      <c r="H28">
        <v>1</v>
      </c>
      <c r="I28">
        <f>I6/H6</f>
        <v>0.79541851851851852</v>
      </c>
      <c r="J28">
        <f>J6/H6</f>
        <v>0.76884629629629631</v>
      </c>
      <c r="K28">
        <f>K6/H6</f>
        <v>0.71174074074074078</v>
      </c>
    </row>
    <row r="29" spans="1:11" x14ac:dyDescent="0.2">
      <c r="A29" t="s">
        <v>10</v>
      </c>
      <c r="B29">
        <v>1</v>
      </c>
      <c r="C29">
        <f>GEOMEAN(C25:C28)</f>
        <v>0.66670277716027404</v>
      </c>
      <c r="D29">
        <f>GEOMEAN(D25:D28)</f>
        <v>0.6667010207095655</v>
      </c>
      <c r="E29">
        <f>GEOMEAN(E25:E28)</f>
        <v>0.67189284963164897</v>
      </c>
      <c r="G29" t="s">
        <v>10</v>
      </c>
      <c r="H29">
        <v>1</v>
      </c>
      <c r="I29">
        <f>GEOMEAN(I25:I28)</f>
        <v>0.79550663709861558</v>
      </c>
      <c r="J29">
        <f>GEOMEAN(J25:J28)</f>
        <v>0.75006380257783523</v>
      </c>
      <c r="K29">
        <f>GEOMEAN(K25:K28)</f>
        <v>0.71319388115089311</v>
      </c>
    </row>
    <row r="30" spans="1:11" x14ac:dyDescent="0.2">
      <c r="C30">
        <v>0.66670425649530096</v>
      </c>
      <c r="D30">
        <v>0.66670757324488705</v>
      </c>
      <c r="E30">
        <v>0.668846876727474</v>
      </c>
      <c r="I30">
        <v>0.79803537866224405</v>
      </c>
      <c r="J30">
        <v>0.74420342730790501</v>
      </c>
      <c r="K30">
        <v>0.70951022664455499</v>
      </c>
    </row>
    <row r="31" spans="1:11" x14ac:dyDescent="0.2">
      <c r="C31">
        <v>0.66672839506172799</v>
      </c>
      <c r="D31">
        <v>0.666716049382716</v>
      </c>
      <c r="E31">
        <v>0.67461728395061704</v>
      </c>
      <c r="I31">
        <v>0.78935390946502104</v>
      </c>
      <c r="J31">
        <v>0.74351851851851802</v>
      </c>
      <c r="K31">
        <v>0.71582304526748997</v>
      </c>
    </row>
    <row r="32" spans="1:11" x14ac:dyDescent="0.2">
      <c r="C32">
        <v>0.66670068027210905</v>
      </c>
      <c r="D32">
        <v>0.66670823885109598</v>
      </c>
      <c r="E32">
        <v>0.673930461073318</v>
      </c>
      <c r="I32">
        <v>0.79925547996976598</v>
      </c>
      <c r="J32">
        <v>0.74399470899470899</v>
      </c>
      <c r="K32">
        <v>0.71572184429327301</v>
      </c>
    </row>
    <row r="33" spans="3:11" x14ac:dyDescent="0.2">
      <c r="C33">
        <v>0.66667777777777804</v>
      </c>
      <c r="D33">
        <v>0.666672222222222</v>
      </c>
      <c r="E33">
        <v>0.67019444444444398</v>
      </c>
      <c r="I33">
        <v>0.79541851851851897</v>
      </c>
      <c r="J33">
        <v>0.76884629629629597</v>
      </c>
      <c r="K33">
        <v>0.71174074074074101</v>
      </c>
    </row>
    <row r="34" spans="3:11" x14ac:dyDescent="0.2">
      <c r="C34">
        <v>0.66670277716027404</v>
      </c>
      <c r="D34">
        <v>0.66670102070956505</v>
      </c>
      <c r="E34">
        <v>0.67189284963164897</v>
      </c>
      <c r="I34">
        <v>0.79550663709861602</v>
      </c>
      <c r="J34">
        <v>0.750063802577835</v>
      </c>
      <c r="K34">
        <v>0.71319388115089299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Jamin</dc:creator>
  <cp:lastModifiedBy>Jamin</cp:lastModifiedBy>
  <dcterms:created xsi:type="dcterms:W3CDTF">2025-10-28T09:15:38Z</dcterms:created>
  <dcterms:modified xsi:type="dcterms:W3CDTF">2025-10-29T03:45:13Z</dcterms:modified>
</cp:coreProperties>
</file>